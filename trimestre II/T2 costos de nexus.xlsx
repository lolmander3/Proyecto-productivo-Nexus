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105598A594FBA6C1/Documentos/"/>
    </mc:Choice>
  </mc:AlternateContent>
  <xr:revisionPtr revIDLastSave="0" documentId="8_{ED74F335-E394-42D9-AFD4-602478B9228A}" xr6:coauthVersionLast="47" xr6:coauthVersionMax="47" xr10:uidLastSave="{00000000-0000-0000-0000-000000000000}"/>
  <bookViews>
    <workbookView xWindow="-120" yWindow="-120" windowWidth="29040" windowHeight="15840" xr2:uid="{34B82275-B448-4CA8-88C9-C0F96185F12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16" i="1"/>
  <c r="J22" i="1"/>
  <c r="J21" i="1"/>
  <c r="I7" i="1"/>
  <c r="I8" i="1"/>
  <c r="I9" i="1"/>
  <c r="I10" i="1"/>
  <c r="I11" i="1"/>
  <c r="I6" i="1"/>
  <c r="I12" i="1" s="1"/>
  <c r="G7" i="1"/>
  <c r="G8" i="1"/>
  <c r="G9" i="1"/>
  <c r="G10" i="1"/>
  <c r="G11" i="1"/>
  <c r="G6" i="1"/>
  <c r="G12" i="1" s="1"/>
  <c r="E7" i="1"/>
  <c r="E8" i="1"/>
  <c r="E9" i="1"/>
  <c r="E10" i="1"/>
  <c r="E11" i="1"/>
  <c r="E6" i="1"/>
  <c r="E12" i="1" s="1"/>
  <c r="K9" i="1"/>
  <c r="L7" i="1"/>
  <c r="L8" i="1"/>
  <c r="L9" i="1"/>
  <c r="L10" i="1"/>
  <c r="L11" i="1"/>
  <c r="K7" i="1"/>
  <c r="K8" i="1"/>
  <c r="K10" i="1"/>
  <c r="K11" i="1"/>
  <c r="L6" i="1"/>
  <c r="K6" i="1"/>
  <c r="J7" i="1"/>
  <c r="J8" i="1"/>
  <c r="J9" i="1"/>
  <c r="J10" i="1"/>
  <c r="J11" i="1"/>
  <c r="J6" i="1"/>
</calcChain>
</file>

<file path=xl/sharedStrings.xml><?xml version="1.0" encoding="utf-8"?>
<sst xmlns="http://schemas.openxmlformats.org/spreadsheetml/2006/main" count="69" uniqueCount="62">
  <si>
    <t>Tabla de gastos</t>
  </si>
  <si>
    <t>Comparación de precios entre proveedores</t>
  </si>
  <si>
    <t>COMPONENTS</t>
  </si>
  <si>
    <t>CANTIDA</t>
  </si>
  <si>
    <t xml:space="preserve">mercado libre </t>
  </si>
  <si>
    <t xml:space="preserve">Computronic </t>
  </si>
  <si>
    <t xml:space="preserve">Falabella </t>
  </si>
  <si>
    <t>PRECIO MÁS BAJO</t>
  </si>
  <si>
    <t>PRECIO PROMEDIO</t>
  </si>
  <si>
    <t>PRECIO MÁS ALTO</t>
  </si>
  <si>
    <t>PRECIO UNITARIO</t>
  </si>
  <si>
    <t>PRECIO TOTAL</t>
  </si>
  <si>
    <t>Monitor Lenovo Thinkvision T24-40</t>
  </si>
  <si>
    <t>Monitor Lenovo S22i -30</t>
  </si>
  <si>
    <t> Mouse Inalámbrico De Modo Dual </t>
  </si>
  <si>
    <t>Cpu Torre Core I5 6ta Gen Ram 8gb Disco 500gb</t>
  </si>
  <si>
    <t>Tarjeta De Video Msi Geforce Rtx 3050 Ventus</t>
  </si>
  <si>
    <t>Disco Duro Solido Ssd Patriot P210 1tb Sata</t>
  </si>
  <si>
    <t>TOTAL:</t>
  </si>
  <si>
    <t>Mano de obra técnica – Aprendiz SENA</t>
  </si>
  <si>
    <t>Servidor base de  dato</t>
  </si>
  <si>
    <t>Concepto</t>
  </si>
  <si>
    <t>Empresa</t>
  </si>
  <si>
    <t>Salario mensual</t>
  </si>
  <si>
    <t>Salario anual</t>
  </si>
  <si>
    <t>Empresa / Proveedor</t>
  </si>
  <si>
    <t>Costo fijo mensual</t>
  </si>
  <si>
    <t>Salario en etapa lectiva – Aprendiz integrado al CEET</t>
  </si>
  <si>
    <t>SENA – CEET</t>
  </si>
  <si>
    <t>S</t>
  </si>
  <si>
    <t>Hosting Web / Frontend</t>
  </si>
  <si>
    <t>Hostinger</t>
  </si>
  <si>
    <t>Trabajo técnico – Aprendiz 1</t>
  </si>
  <si>
    <t>SENA-CEET</t>
  </si>
  <si>
    <t>Servidor Backend (API)</t>
  </si>
  <si>
    <t>Conectahosting VPS</t>
  </si>
  <si>
    <t>Trabajo técnico – Aprendiz 2</t>
  </si>
  <si>
    <t>Base de Datos</t>
  </si>
  <si>
    <t>Conectahosting MySQL</t>
  </si>
  <si>
    <t>Trabajo técnico – Aprendiz 3</t>
  </si>
  <si>
    <t>Dominio</t>
  </si>
  <si>
    <t>Conectahosting</t>
  </si>
  <si>
    <t xml:space="preserve">Costede servicios </t>
  </si>
  <si>
    <t>Servicios</t>
  </si>
  <si>
    <t>TOTAL ANUAL</t>
  </si>
  <si>
    <t>TOTAL  MENSUAL</t>
  </si>
  <si>
    <t>Software</t>
  </si>
  <si>
    <t>LENGUAJES</t>
  </si>
  <si>
    <t>PROGRAMAS</t>
  </si>
  <si>
    <t>digital-licencia</t>
  </si>
  <si>
    <t>keys.express</t>
  </si>
  <si>
    <t>HTML</t>
  </si>
  <si>
    <t>Licencia Visio Pro 2024</t>
  </si>
  <si>
    <t>CSS</t>
  </si>
  <si>
    <t>NODE.JS</t>
  </si>
  <si>
    <t>JAVACRIPT</t>
  </si>
  <si>
    <t>XAMP</t>
  </si>
  <si>
    <t>SQL</t>
  </si>
  <si>
    <t>MYSQL</t>
  </si>
  <si>
    <t>CONTROL DE VERSIONES</t>
  </si>
  <si>
    <t xml:space="preserve">GITHUB </t>
  </si>
  <si>
    <t>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</si>
</sst>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[$COP]_-;\-* #,##0\ [$COP]_-;_-* &quot;-&quot;???\ [$COP]_-;_-@_-"/>
    <numFmt numFmtId="165" formatCode="_-* #,##0.0\ &quot;€&quot;_-;\-* #,##0.0\ &quot;€&quot;_-;_-* &quot;-&quot;?\ &quot;€&quot;_-;_-@_-"/>
    <numFmt numFmtId="166" formatCode="_-* #,##0.0\ [$COP]_-;\-* #,##0.0\ [$COP]_-;_-* &quot;-&quot;??\ [$COP]_-;_-@_-"/>
    <numFmt numFmtId="167" formatCode="_-* #,##0\ [$COP]_-;\-* #,##0\ [$COP]_-;_-* &quot;-&quot;??\ [$COP]_-;_-@_-"/>
    <numFmt numFmtId="168" formatCode="_-* #,##0.0\ [$COP]_-;\-* #,##0.0\ [$COP]_-;_-* &quot;-&quot;?\ [$COP]_-;_-@_-"/>
    <numFmt numFmtId="169" formatCode="_-* #,##0.00\ [$COP]_-;\-* #,##0.00\ [$COP]_-;_-* &quot;-&quot;??\ [$COP]_-;_-@_-"/>
    <numFmt numFmtId="170" formatCode="0.0"/>
  </numFmts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b/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4">
    <xf numFmtId="0" fontId="0" fillId="0" borderId="0" xfId="0"/>
    <xf numFmtId="3" fontId="0" fillId="0" borderId="0" xfId="0" applyNumberFormat="1"/>
    <xf numFmtId="165" fontId="0" fillId="0" borderId="0" xfId="0" applyNumberFormat="1"/>
    <xf numFmtId="0" fontId="2" fillId="3" borderId="4" xfId="0" applyFont="1" applyFill="1" applyBorder="1"/>
    <xf numFmtId="0" fontId="2" fillId="9" borderId="4" xfId="0" applyFont="1" applyFill="1" applyBorder="1"/>
    <xf numFmtId="0" fontId="0" fillId="9" borderId="4" xfId="0" applyFill="1" applyBorder="1"/>
    <xf numFmtId="0" fontId="4" fillId="9" borderId="4" xfId="0" applyFont="1" applyFill="1" applyBorder="1" applyAlignment="1">
      <alignment wrapText="1"/>
    </xf>
    <xf numFmtId="166" fontId="0" fillId="8" borderId="4" xfId="0" applyNumberFormat="1" applyFill="1" applyBorder="1"/>
    <xf numFmtId="167" fontId="5" fillId="10" borderId="4" xfId="0" applyNumberFormat="1" applyFont="1" applyFill="1" applyBorder="1" applyAlignment="1"/>
    <xf numFmtId="0" fontId="2" fillId="2" borderId="4" xfId="0" applyFont="1" applyFill="1" applyBorder="1" applyAlignment="1">
      <alignment horizontal="center"/>
    </xf>
    <xf numFmtId="0" fontId="5" fillId="6" borderId="4" xfId="0" applyFont="1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5" fillId="6" borderId="4" xfId="0" applyFont="1" applyFill="1" applyBorder="1" applyAlignment="1">
      <alignment wrapText="1"/>
    </xf>
    <xf numFmtId="168" fontId="0" fillId="9" borderId="4" xfId="0" applyNumberFormat="1" applyFill="1" applyBorder="1" applyAlignment="1">
      <alignment horizontal="right"/>
    </xf>
    <xf numFmtId="168" fontId="5" fillId="10" borderId="4" xfId="0" applyNumberFormat="1" applyFont="1" applyFill="1" applyBorder="1" applyAlignment="1"/>
    <xf numFmtId="169" fontId="0" fillId="6" borderId="4" xfId="0" applyNumberFormat="1" applyFill="1" applyBorder="1" applyAlignment="1">
      <alignment horizontal="right" vertical="center"/>
    </xf>
    <xf numFmtId="0" fontId="0" fillId="6" borderId="4" xfId="0" applyFill="1" applyBorder="1"/>
    <xf numFmtId="166" fontId="0" fillId="8" borderId="3" xfId="0" applyNumberFormat="1" applyFill="1" applyBorder="1"/>
    <xf numFmtId="166" fontId="0" fillId="8" borderId="10" xfId="0" applyNumberFormat="1" applyFill="1" applyBorder="1"/>
    <xf numFmtId="0" fontId="2" fillId="2" borderId="4" xfId="0" applyFont="1" applyFill="1" applyBorder="1" applyAlignment="1"/>
    <xf numFmtId="0" fontId="0" fillId="5" borderId="4" xfId="0" applyFill="1" applyBorder="1" applyAlignment="1">
      <alignment wrapText="1"/>
    </xf>
    <xf numFmtId="169" fontId="0" fillId="5" borderId="4" xfId="0" applyNumberFormat="1" applyFill="1" applyBorder="1"/>
    <xf numFmtId="166" fontId="0" fillId="5" borderId="4" xfId="0" applyNumberFormat="1" applyFill="1" applyBorder="1"/>
    <xf numFmtId="0" fontId="0" fillId="3" borderId="4" xfId="0" applyFill="1" applyBorder="1"/>
    <xf numFmtId="165" fontId="0" fillId="4" borderId="4" xfId="0" applyNumberFormat="1" applyFill="1" applyBorder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6" fontId="0" fillId="5" borderId="6" xfId="0" applyNumberFormat="1" applyFill="1" applyBorder="1"/>
    <xf numFmtId="166" fontId="0" fillId="8" borderId="6" xfId="0" applyNumberFormat="1" applyFill="1" applyBorder="1"/>
    <xf numFmtId="166" fontId="0" fillId="5" borderId="5" xfId="0" applyNumberFormat="1" applyFill="1" applyBorder="1"/>
    <xf numFmtId="166" fontId="0" fillId="3" borderId="1" xfId="0" applyNumberFormat="1" applyFill="1" applyBorder="1" applyAlignment="1"/>
    <xf numFmtId="165" fontId="0" fillId="4" borderId="3" xfId="0" applyNumberFormat="1" applyFill="1" applyBorder="1"/>
    <xf numFmtId="166" fontId="0" fillId="5" borderId="12" xfId="0" applyNumberFormat="1" applyFill="1" applyBorder="1"/>
    <xf numFmtId="166" fontId="0" fillId="3" borderId="2" xfId="0" applyNumberFormat="1" applyFill="1" applyBorder="1" applyAlignment="1"/>
    <xf numFmtId="166" fontId="0" fillId="3" borderId="2" xfId="0" applyNumberFormat="1" applyFill="1" applyBorder="1"/>
    <xf numFmtId="166" fontId="0" fillId="3" borderId="3" xfId="0" applyNumberFormat="1" applyFill="1" applyBorder="1"/>
    <xf numFmtId="0" fontId="0" fillId="5" borderId="6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0" fillId="9" borderId="4" xfId="0" applyFill="1" applyBorder="1" applyAlignment="1">
      <alignment wrapText="1"/>
    </xf>
    <xf numFmtId="167" fontId="5" fillId="10" borderId="4" xfId="0" applyNumberFormat="1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170" fontId="0" fillId="5" borderId="6" xfId="0" applyNumberFormat="1" applyFill="1" applyBorder="1" applyAlignment="1">
      <alignment horizontal="center" vertical="center"/>
    </xf>
    <xf numFmtId="170" fontId="0" fillId="5" borderId="4" xfId="0" applyNumberFormat="1" applyFill="1" applyBorder="1" applyAlignment="1">
      <alignment horizontal="center" vertical="center"/>
    </xf>
    <xf numFmtId="170" fontId="0" fillId="5" borderId="5" xfId="0" applyNumberFormat="1" applyFill="1" applyBorder="1" applyAlignment="1">
      <alignment horizontal="center" vertical="center"/>
    </xf>
    <xf numFmtId="0" fontId="5" fillId="10" borderId="4" xfId="1" applyFont="1" applyFill="1" applyBorder="1" applyAlignment="1"/>
    <xf numFmtId="0" fontId="5" fillId="10" borderId="4" xfId="1" applyFont="1" applyFill="1" applyBorder="1" applyAlignment="1">
      <alignment wrapText="1"/>
    </xf>
    <xf numFmtId="168" fontId="0" fillId="10" borderId="4" xfId="0" applyNumberFormat="1" applyFill="1" applyBorder="1" applyAlignment="1">
      <alignment horizontal="right"/>
    </xf>
    <xf numFmtId="168" fontId="5" fillId="7" borderId="4" xfId="0" applyNumberFormat="1" applyFont="1" applyFill="1" applyBorder="1" applyAlignment="1">
      <alignment wrapText="1"/>
    </xf>
    <xf numFmtId="168" fontId="0" fillId="7" borderId="4" xfId="0" applyNumberFormat="1" applyFill="1" applyBorder="1" applyAlignment="1">
      <alignment horizontal="right"/>
    </xf>
    <xf numFmtId="169" fontId="5" fillId="6" borderId="4" xfId="0" applyNumberFormat="1" applyFont="1" applyFill="1" applyBorder="1" applyAlignment="1">
      <alignment vertical="center"/>
    </xf>
    <xf numFmtId="169" fontId="6" fillId="6" borderId="4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horizontal="center" wrapText="1"/>
    </xf>
    <xf numFmtId="165" fontId="2" fillId="3" borderId="4" xfId="0" applyNumberFormat="1" applyFont="1" applyFill="1" applyBorder="1" applyAlignment="1">
      <alignment wrapText="1"/>
    </xf>
    <xf numFmtId="0" fontId="0" fillId="11" borderId="4" xfId="0" applyFill="1" applyBorder="1" applyAlignment="1"/>
    <xf numFmtId="169" fontId="0" fillId="11" borderId="4" xfId="0" applyNumberFormat="1" applyFill="1" applyBorder="1" applyAlignment="1"/>
    <xf numFmtId="0" fontId="0" fillId="11" borderId="4" xfId="0" applyFill="1" applyBorder="1" applyAlignment="1">
      <alignment vertical="center" wrapText="1"/>
    </xf>
    <xf numFmtId="0" fontId="5" fillId="12" borderId="4" xfId="0" applyFont="1" applyFill="1" applyBorder="1" applyAlignment="1"/>
    <xf numFmtId="169" fontId="0" fillId="12" borderId="4" xfId="0" applyNumberFormat="1" applyFill="1" applyBorder="1" applyAlignment="1"/>
    <xf numFmtId="166" fontId="0" fillId="5" borderId="5" xfId="0" applyNumberFormat="1" applyFill="1" applyBorder="1" applyAlignment="1">
      <alignment wrapText="1"/>
    </xf>
    <xf numFmtId="0" fontId="0" fillId="9" borderId="4" xfId="0" applyFill="1" applyBorder="1" applyAlignment="1">
      <alignment horizontal="center" vertical="center" wrapText="1"/>
    </xf>
    <xf numFmtId="169" fontId="0" fillId="9" borderId="4" xfId="0" applyNumberFormat="1" applyFill="1" applyBorder="1"/>
    <xf numFmtId="168" fontId="0" fillId="7" borderId="4" xfId="0" applyNumberForma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165" fontId="0" fillId="0" borderId="0" xfId="0" applyNumberFormat="1" applyBorder="1"/>
    <xf numFmtId="0" fontId="3" fillId="3" borderId="4" xfId="0" applyFont="1" applyFill="1" applyBorder="1"/>
    <xf numFmtId="164" fontId="2" fillId="3" borderId="4" xfId="0" applyNumberFormat="1" applyFont="1" applyFill="1" applyBorder="1" applyAlignment="1">
      <alignment horizontal="right"/>
    </xf>
    <xf numFmtId="167" fontId="3" fillId="3" borderId="4" xfId="0" applyNumberFormat="1" applyFont="1" applyFill="1" applyBorder="1"/>
    <xf numFmtId="0" fontId="7" fillId="2" borderId="11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CCCCFF"/>
      <color rgb="FFFBE2D5"/>
      <color rgb="FFE4D8C6"/>
      <color rgb="FFDAE9F8"/>
      <color rgb="FFC0E6F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054E-21E3-4C71-8FDB-065281B80388}">
  <dimension ref="B2:P53"/>
  <sheetViews>
    <sheetView tabSelected="1" workbookViewId="0">
      <selection activeCell="I29" sqref="I29"/>
    </sheetView>
  </sheetViews>
  <sheetFormatPr defaultColWidth="11.42578125" defaultRowHeight="15"/>
  <cols>
    <col min="2" max="2" width="34.28515625" customWidth="1"/>
    <col min="3" max="3" width="11.5703125" customWidth="1"/>
    <col min="4" max="4" width="16.5703125" customWidth="1"/>
    <col min="5" max="5" width="18.42578125" customWidth="1"/>
    <col min="6" max="6" width="17.85546875" customWidth="1"/>
    <col min="7" max="7" width="18.5703125" customWidth="1"/>
    <col min="8" max="8" width="17.42578125" customWidth="1"/>
    <col min="9" max="9" width="18.85546875" customWidth="1"/>
    <col min="10" max="12" width="19.85546875" style="2" customWidth="1"/>
    <col min="13" max="13" width="27" customWidth="1"/>
    <col min="14" max="14" width="24.85546875" customWidth="1"/>
    <col min="15" max="15" width="19.28515625" customWidth="1"/>
    <col min="16" max="16" width="17.5703125" customWidth="1"/>
    <col min="17" max="17" width="10" customWidth="1"/>
    <col min="18" max="18" width="7.28515625" customWidth="1"/>
    <col min="19" max="19" width="8.85546875" customWidth="1"/>
    <col min="20" max="20" width="20.5703125" bestFit="1" customWidth="1"/>
  </cols>
  <sheetData>
    <row r="2" spans="2:12" ht="18.75" customHeight="1">
      <c r="B2" s="72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2:12">
      <c r="B3" s="82" t="s">
        <v>1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2:12">
      <c r="B4" s="78" t="s">
        <v>2</v>
      </c>
      <c r="C4" s="78" t="s">
        <v>3</v>
      </c>
      <c r="D4" s="76" t="s">
        <v>4</v>
      </c>
      <c r="E4" s="77"/>
      <c r="F4" s="76" t="s">
        <v>5</v>
      </c>
      <c r="G4" s="77"/>
      <c r="H4" s="56" t="s">
        <v>6</v>
      </c>
      <c r="I4" s="56"/>
      <c r="J4" s="57" t="s">
        <v>7</v>
      </c>
      <c r="K4" s="57" t="s">
        <v>8</v>
      </c>
      <c r="L4" s="57" t="s">
        <v>9</v>
      </c>
    </row>
    <row r="5" spans="2:12">
      <c r="B5" s="79"/>
      <c r="C5" s="79"/>
      <c r="D5" s="42" t="s">
        <v>10</v>
      </c>
      <c r="E5" s="42" t="s">
        <v>11</v>
      </c>
      <c r="F5" s="42" t="s">
        <v>10</v>
      </c>
      <c r="G5" s="42" t="s">
        <v>11</v>
      </c>
      <c r="H5" s="42" t="s">
        <v>10</v>
      </c>
      <c r="I5" s="42" t="s">
        <v>11</v>
      </c>
      <c r="J5" s="57"/>
      <c r="K5" s="57"/>
      <c r="L5" s="57"/>
    </row>
    <row r="6" spans="2:12">
      <c r="B6" s="40" t="s">
        <v>12</v>
      </c>
      <c r="C6" s="46">
        <v>1</v>
      </c>
      <c r="D6" s="31">
        <v>708029</v>
      </c>
      <c r="E6" s="31">
        <f>D6*C6</f>
        <v>708029</v>
      </c>
      <c r="F6" s="31">
        <v>600000</v>
      </c>
      <c r="G6" s="31">
        <f>F6*C6</f>
        <v>600000</v>
      </c>
      <c r="H6" s="31">
        <v>719900</v>
      </c>
      <c r="I6" s="31">
        <f>H6*C6</f>
        <v>719900</v>
      </c>
      <c r="J6" s="32">
        <f>MIN(D6:H6)</f>
        <v>600000</v>
      </c>
      <c r="K6" s="21">
        <f>MEDIAN(D6:H6)</f>
        <v>708029</v>
      </c>
      <c r="L6" s="21">
        <f>MAX(D6:H6)</f>
        <v>719900</v>
      </c>
    </row>
    <row r="7" spans="2:12">
      <c r="B7" s="23" t="s">
        <v>13</v>
      </c>
      <c r="C7" s="47">
        <v>2</v>
      </c>
      <c r="D7" s="25">
        <v>469900</v>
      </c>
      <c r="E7" s="31">
        <f t="shared" ref="E7:E11" si="0">D7*C7</f>
        <v>939800</v>
      </c>
      <c r="F7" s="25">
        <v>609000</v>
      </c>
      <c r="G7" s="31">
        <f t="shared" ref="G7:G11" si="1">F7*C7</f>
        <v>1218000</v>
      </c>
      <c r="H7" s="25">
        <v>469900</v>
      </c>
      <c r="I7" s="31">
        <f t="shared" ref="I7:I11" si="2">H7*C7</f>
        <v>939800</v>
      </c>
      <c r="J7" s="7">
        <f t="shared" ref="J7:J11" si="3">MIN(D7:H7)</f>
        <v>469900</v>
      </c>
      <c r="K7" s="20">
        <f t="shared" ref="K7:K11" si="4">MEDIAN(D7:H7)</f>
        <v>609000</v>
      </c>
      <c r="L7" s="20">
        <f t="shared" ref="L7:L11" si="5">MAX(D7:H7)</f>
        <v>1218000</v>
      </c>
    </row>
    <row r="8" spans="2:12">
      <c r="B8" s="23" t="s">
        <v>14</v>
      </c>
      <c r="C8" s="47">
        <v>3</v>
      </c>
      <c r="D8" s="25">
        <v>21490</v>
      </c>
      <c r="E8" s="31">
        <f t="shared" si="0"/>
        <v>64470</v>
      </c>
      <c r="F8" s="25">
        <v>550000</v>
      </c>
      <c r="G8" s="31">
        <f t="shared" si="1"/>
        <v>1650000</v>
      </c>
      <c r="H8" s="25">
        <v>87900</v>
      </c>
      <c r="I8" s="31">
        <f t="shared" si="2"/>
        <v>263700</v>
      </c>
      <c r="J8" s="7">
        <f t="shared" si="3"/>
        <v>21490</v>
      </c>
      <c r="K8" s="20">
        <f t="shared" si="4"/>
        <v>87900</v>
      </c>
      <c r="L8" s="20">
        <f t="shared" si="5"/>
        <v>1650000</v>
      </c>
    </row>
    <row r="9" spans="2:12" ht="29.25">
      <c r="B9" s="23" t="s">
        <v>15</v>
      </c>
      <c r="C9" s="47">
        <v>3</v>
      </c>
      <c r="D9" s="25">
        <v>577328</v>
      </c>
      <c r="E9" s="31">
        <f t="shared" si="0"/>
        <v>1731984</v>
      </c>
      <c r="F9" s="25">
        <v>550905</v>
      </c>
      <c r="G9" s="31">
        <f t="shared" si="1"/>
        <v>1652715</v>
      </c>
      <c r="H9" s="25">
        <v>580000</v>
      </c>
      <c r="I9" s="31">
        <f t="shared" si="2"/>
        <v>1740000</v>
      </c>
      <c r="J9" s="7">
        <f t="shared" si="3"/>
        <v>550905</v>
      </c>
      <c r="K9" s="20">
        <f>MEDIAN(D9:H9)</f>
        <v>580000</v>
      </c>
      <c r="L9" s="20">
        <f t="shared" si="5"/>
        <v>1731984</v>
      </c>
    </row>
    <row r="10" spans="2:12" ht="29.25">
      <c r="B10" s="23" t="s">
        <v>16</v>
      </c>
      <c r="C10" s="47">
        <v>3</v>
      </c>
      <c r="D10" s="25">
        <v>879900</v>
      </c>
      <c r="E10" s="31">
        <f t="shared" si="0"/>
        <v>2639700</v>
      </c>
      <c r="F10" s="25">
        <v>1700000</v>
      </c>
      <c r="G10" s="31">
        <f t="shared" si="1"/>
        <v>5100000</v>
      </c>
      <c r="H10" s="25">
        <v>1957000</v>
      </c>
      <c r="I10" s="31">
        <f t="shared" si="2"/>
        <v>5871000</v>
      </c>
      <c r="J10" s="7">
        <f t="shared" si="3"/>
        <v>879900</v>
      </c>
      <c r="K10" s="20">
        <f t="shared" si="4"/>
        <v>1957000</v>
      </c>
      <c r="L10" s="20">
        <f t="shared" si="5"/>
        <v>5100000</v>
      </c>
    </row>
    <row r="11" spans="2:12" ht="29.25">
      <c r="B11" s="41" t="s">
        <v>17</v>
      </c>
      <c r="C11" s="48">
        <v>3</v>
      </c>
      <c r="D11" s="33">
        <v>330000</v>
      </c>
      <c r="E11" s="36">
        <f t="shared" si="0"/>
        <v>990000</v>
      </c>
      <c r="F11" s="63">
        <v>350000</v>
      </c>
      <c r="G11" s="36">
        <f t="shared" si="1"/>
        <v>1050000</v>
      </c>
      <c r="H11" s="33">
        <v>350000</v>
      </c>
      <c r="I11" s="36">
        <f t="shared" si="2"/>
        <v>1050000</v>
      </c>
      <c r="J11" s="7">
        <f t="shared" si="3"/>
        <v>330000</v>
      </c>
      <c r="K11" s="20">
        <f t="shared" si="4"/>
        <v>350000</v>
      </c>
      <c r="L11" s="20">
        <f t="shared" si="5"/>
        <v>1050000</v>
      </c>
    </row>
    <row r="12" spans="2:12">
      <c r="B12" s="74" t="s">
        <v>18</v>
      </c>
      <c r="C12" s="75"/>
      <c r="D12" s="34"/>
      <c r="E12" s="37">
        <f>SUM(E6:E11)</f>
        <v>7073983</v>
      </c>
      <c r="F12" s="38"/>
      <c r="G12" s="38">
        <f>SUM(G6:G11)</f>
        <v>11270715</v>
      </c>
      <c r="H12" s="38"/>
      <c r="I12" s="39">
        <f>SUM(I6:I11)</f>
        <v>10584400</v>
      </c>
      <c r="J12" s="35"/>
      <c r="K12" s="27"/>
      <c r="L12" s="27"/>
    </row>
    <row r="14" spans="2:12">
      <c r="B14" s="81" t="s">
        <v>19</v>
      </c>
      <c r="C14" s="81"/>
      <c r="D14" s="81"/>
      <c r="E14" s="81"/>
      <c r="G14" s="80" t="s">
        <v>20</v>
      </c>
      <c r="H14" s="80"/>
      <c r="I14" s="80"/>
      <c r="J14" s="80"/>
      <c r="K14"/>
      <c r="L14"/>
    </row>
    <row r="15" spans="2:12" ht="29.25">
      <c r="B15" s="69" t="s">
        <v>21</v>
      </c>
      <c r="C15" s="69" t="s">
        <v>22</v>
      </c>
      <c r="D15" s="70" t="s">
        <v>23</v>
      </c>
      <c r="E15" s="71" t="s">
        <v>24</v>
      </c>
      <c r="G15" s="45" t="s">
        <v>21</v>
      </c>
      <c r="H15" s="45" t="s">
        <v>25</v>
      </c>
      <c r="I15" s="45" t="s">
        <v>26</v>
      </c>
      <c r="J15" s="45"/>
      <c r="K15"/>
      <c r="L15"/>
    </row>
    <row r="16" spans="2:12" ht="18" customHeight="1">
      <c r="B16" s="15" t="s">
        <v>27</v>
      </c>
      <c r="C16" s="10" t="s">
        <v>28</v>
      </c>
      <c r="D16" s="18" t="s">
        <v>29</v>
      </c>
      <c r="E16" s="54">
        <v>2400000</v>
      </c>
      <c r="G16" s="4" t="s">
        <v>30</v>
      </c>
      <c r="H16" s="43" t="s">
        <v>31</v>
      </c>
      <c r="I16" s="16">
        <v>25700</v>
      </c>
      <c r="J16" s="16">
        <f>I16*12</f>
        <v>308400</v>
      </c>
      <c r="K16"/>
      <c r="L16"/>
    </row>
    <row r="17" spans="2:16" ht="16.5" customHeight="1">
      <c r="B17" s="10" t="s">
        <v>32</v>
      </c>
      <c r="C17" s="10" t="s">
        <v>33</v>
      </c>
      <c r="D17" s="55">
        <v>200000</v>
      </c>
      <c r="E17" s="54">
        <v>2400000</v>
      </c>
      <c r="G17" s="5" t="s">
        <v>34</v>
      </c>
      <c r="H17" s="43" t="s">
        <v>35</v>
      </c>
      <c r="I17" s="16">
        <v>120000</v>
      </c>
      <c r="J17" s="16">
        <f t="shared" ref="J17:J20" si="6">I17*12</f>
        <v>1440000</v>
      </c>
      <c r="K17"/>
      <c r="L17"/>
    </row>
    <row r="18" spans="2:16" ht="28.5">
      <c r="B18" s="19" t="s">
        <v>36</v>
      </c>
      <c r="C18" s="10" t="s">
        <v>28</v>
      </c>
      <c r="D18" s="18">
        <v>200000</v>
      </c>
      <c r="E18" s="54">
        <v>2400000</v>
      </c>
      <c r="G18" s="5" t="s">
        <v>37</v>
      </c>
      <c r="H18" s="6" t="s">
        <v>38</v>
      </c>
      <c r="I18" s="16">
        <v>20000</v>
      </c>
      <c r="J18" s="16">
        <f t="shared" si="6"/>
        <v>240000</v>
      </c>
      <c r="K18"/>
      <c r="L18"/>
      <c r="M18" s="13"/>
      <c r="N18" s="13"/>
      <c r="O18" s="13"/>
    </row>
    <row r="19" spans="2:16">
      <c r="B19" s="10" t="s">
        <v>39</v>
      </c>
      <c r="C19" s="10" t="s">
        <v>28</v>
      </c>
      <c r="D19" s="18">
        <v>200000</v>
      </c>
      <c r="E19" s="54">
        <v>2400000</v>
      </c>
      <c r="G19" s="49" t="s">
        <v>40</v>
      </c>
      <c r="H19" s="50" t="s">
        <v>41</v>
      </c>
      <c r="I19" s="51">
        <v>8000</v>
      </c>
      <c r="J19" s="16">
        <f t="shared" si="6"/>
        <v>96000</v>
      </c>
      <c r="K19"/>
      <c r="L19"/>
      <c r="M19" s="13"/>
      <c r="N19" s="13"/>
      <c r="O19" s="13"/>
    </row>
    <row r="20" spans="2:16">
      <c r="B20" s="28" t="s">
        <v>42</v>
      </c>
      <c r="C20" s="28"/>
      <c r="D20" s="28"/>
      <c r="E20" s="28"/>
      <c r="G20" s="8"/>
      <c r="H20" s="44"/>
      <c r="I20" s="17">
        <v>0</v>
      </c>
      <c r="J20" s="16">
        <f t="shared" si="6"/>
        <v>0</v>
      </c>
      <c r="K20"/>
      <c r="L20"/>
      <c r="M20" s="13"/>
      <c r="N20" s="13"/>
      <c r="O20" s="13"/>
    </row>
    <row r="21" spans="2:16">
      <c r="B21" s="29" t="s">
        <v>43</v>
      </c>
      <c r="C21" s="29"/>
      <c r="D21" s="26"/>
      <c r="E21" s="26"/>
      <c r="I21" s="66" t="s">
        <v>44</v>
      </c>
      <c r="J21" s="53">
        <f>SUM(J16:J20)</f>
        <v>2084400</v>
      </c>
      <c r="K21"/>
      <c r="L21"/>
      <c r="M21" s="13"/>
      <c r="N21" s="13"/>
      <c r="O21" s="13"/>
    </row>
    <row r="22" spans="2:16">
      <c r="B22" s="12"/>
      <c r="C22" s="12"/>
      <c r="D22" s="11"/>
      <c r="E22" s="11"/>
      <c r="H22" s="2"/>
      <c r="I22" s="67" t="s">
        <v>45</v>
      </c>
      <c r="J22" s="52">
        <f>SUM(I16:I20)</f>
        <v>173700</v>
      </c>
      <c r="K22"/>
      <c r="L22"/>
      <c r="N22" s="13"/>
      <c r="O22" s="13"/>
      <c r="P22" s="13"/>
    </row>
    <row r="23" spans="2:16">
      <c r="B23" s="12"/>
      <c r="C23" s="12"/>
      <c r="D23" s="11"/>
      <c r="E23" s="11"/>
      <c r="K23"/>
      <c r="L23"/>
      <c r="N23" s="13"/>
      <c r="O23" s="13"/>
      <c r="P23" s="13"/>
    </row>
    <row r="24" spans="2:16">
      <c r="B24" s="12"/>
      <c r="C24" s="12"/>
      <c r="D24" s="11"/>
      <c r="E24" s="11"/>
      <c r="K24"/>
      <c r="L24"/>
    </row>
    <row r="25" spans="2:16">
      <c r="B25" s="13"/>
      <c r="C25" s="13"/>
      <c r="D25" s="14"/>
      <c r="E25" s="14"/>
      <c r="G25" s="81" t="s">
        <v>46</v>
      </c>
      <c r="H25" s="81"/>
      <c r="I25" s="81"/>
      <c r="J25" s="81"/>
      <c r="K25"/>
      <c r="L25"/>
    </row>
    <row r="26" spans="2:16">
      <c r="B26" s="9" t="s">
        <v>47</v>
      </c>
      <c r="C26" s="9"/>
      <c r="G26" s="30" t="s">
        <v>48</v>
      </c>
      <c r="H26" s="3" t="s">
        <v>49</v>
      </c>
      <c r="I26" s="3" t="s">
        <v>50</v>
      </c>
      <c r="J26" s="26"/>
      <c r="K26"/>
      <c r="L26"/>
    </row>
    <row r="27" spans="2:16" ht="29.25">
      <c r="B27" s="58" t="s">
        <v>51</v>
      </c>
      <c r="C27" s="59">
        <v>0</v>
      </c>
      <c r="G27" s="64" t="s">
        <v>52</v>
      </c>
      <c r="H27" s="65">
        <v>163094.45000000001</v>
      </c>
      <c r="I27" s="24">
        <v>213213</v>
      </c>
      <c r="J27" s="24"/>
      <c r="K27"/>
      <c r="L27"/>
    </row>
    <row r="28" spans="2:16">
      <c r="B28" s="58" t="s">
        <v>53</v>
      </c>
      <c r="C28" s="59">
        <v>0</v>
      </c>
      <c r="G28" s="64" t="s">
        <v>54</v>
      </c>
      <c r="H28" s="65">
        <v>0</v>
      </c>
      <c r="I28" s="24">
        <v>0</v>
      </c>
      <c r="J28" s="24"/>
      <c r="K28"/>
      <c r="L28"/>
    </row>
    <row r="29" spans="2:16">
      <c r="B29" s="58" t="s">
        <v>55</v>
      </c>
      <c r="C29" s="59">
        <v>0</v>
      </c>
      <c r="G29" s="64" t="s">
        <v>56</v>
      </c>
      <c r="H29" s="65"/>
      <c r="I29" s="24"/>
      <c r="J29" s="24"/>
      <c r="K29"/>
      <c r="L29"/>
    </row>
    <row r="30" spans="2:16">
      <c r="B30" s="60" t="s">
        <v>57</v>
      </c>
      <c r="C30" s="59">
        <v>0</v>
      </c>
      <c r="G30" s="64" t="s">
        <v>58</v>
      </c>
      <c r="H30" s="65"/>
      <c r="I30" s="24"/>
      <c r="J30" s="24"/>
      <c r="K30"/>
      <c r="L30"/>
    </row>
    <row r="31" spans="2:16">
      <c r="B31" s="22" t="s">
        <v>59</v>
      </c>
      <c r="C31" s="22"/>
      <c r="G31" s="2"/>
      <c r="H31" s="2"/>
      <c r="I31" s="2"/>
      <c r="J31"/>
      <c r="K31"/>
      <c r="L31"/>
    </row>
    <row r="32" spans="2:16">
      <c r="B32" s="61" t="s">
        <v>60</v>
      </c>
      <c r="C32" s="62">
        <v>0</v>
      </c>
      <c r="E32" s="2"/>
      <c r="F32" s="2"/>
      <c r="G32" s="2"/>
      <c r="J32"/>
      <c r="K32"/>
      <c r="L32"/>
    </row>
    <row r="33" spans="2:12">
      <c r="B33" s="61" t="s">
        <v>61</v>
      </c>
      <c r="C33" s="62">
        <v>0</v>
      </c>
      <c r="G33" s="2"/>
      <c r="H33" s="2"/>
      <c r="I33" s="2"/>
      <c r="J33"/>
      <c r="K33"/>
      <c r="L33"/>
    </row>
    <row r="34" spans="2:12">
      <c r="G34" s="2"/>
      <c r="H34" s="2"/>
      <c r="I34" s="2"/>
      <c r="J34"/>
      <c r="K34"/>
      <c r="L34"/>
    </row>
    <row r="35" spans="2:12">
      <c r="G35" s="2"/>
      <c r="H35" s="2"/>
      <c r="I35" s="2"/>
      <c r="J35"/>
      <c r="K35"/>
      <c r="L35"/>
    </row>
    <row r="36" spans="2:12">
      <c r="D36" s="1"/>
      <c r="G36" s="14"/>
    </row>
    <row r="37" spans="2:12">
      <c r="G37" s="2"/>
      <c r="H37" s="2"/>
      <c r="I37" s="2"/>
      <c r="J37"/>
      <c r="K37"/>
      <c r="L37"/>
    </row>
    <row r="38" spans="2:12">
      <c r="G38" s="2"/>
      <c r="H38" s="2"/>
      <c r="I38" s="2"/>
      <c r="J38"/>
      <c r="K38"/>
      <c r="L38"/>
    </row>
    <row r="39" spans="2:12">
      <c r="G39" s="2"/>
      <c r="H39" s="2"/>
      <c r="I39" s="2"/>
      <c r="J39"/>
      <c r="K39"/>
      <c r="L39"/>
    </row>
    <row r="40" spans="2:12">
      <c r="G40" s="2"/>
      <c r="H40" s="2"/>
      <c r="I40" s="2"/>
      <c r="J40"/>
      <c r="K40"/>
      <c r="L40"/>
    </row>
    <row r="41" spans="2:12">
      <c r="G41" s="2"/>
      <c r="H41" s="2"/>
      <c r="I41" s="2"/>
      <c r="J41"/>
      <c r="K41"/>
      <c r="L41"/>
    </row>
    <row r="42" spans="2:12">
      <c r="G42" s="2"/>
      <c r="H42" s="2"/>
      <c r="I42" s="2"/>
      <c r="J42"/>
      <c r="K42"/>
      <c r="L42"/>
    </row>
    <row r="43" spans="2:12">
      <c r="G43" s="68"/>
      <c r="H43" s="68"/>
      <c r="I43" s="68"/>
      <c r="J43"/>
      <c r="K43"/>
      <c r="L43"/>
    </row>
    <row r="44" spans="2:12">
      <c r="G44" s="14"/>
      <c r="H44" s="14"/>
      <c r="I44" s="14"/>
    </row>
    <row r="45" spans="2:12">
      <c r="G45" s="14"/>
      <c r="H45" s="14"/>
      <c r="I45" s="14"/>
    </row>
    <row r="46" spans="2:12">
      <c r="G46" s="14"/>
      <c r="H46" s="14"/>
      <c r="I46" s="14"/>
    </row>
    <row r="47" spans="2:12">
      <c r="G47" s="14"/>
      <c r="H47" s="14"/>
      <c r="I47" s="14"/>
    </row>
    <row r="48" spans="2:12">
      <c r="G48" s="14"/>
      <c r="H48" s="14"/>
      <c r="I48" s="14"/>
    </row>
    <row r="49" spans="7:9">
      <c r="G49" s="14"/>
      <c r="H49" s="14"/>
      <c r="I49" s="14"/>
    </row>
    <row r="50" spans="7:9">
      <c r="G50" s="14"/>
      <c r="H50" s="14"/>
      <c r="I50" s="14"/>
    </row>
    <row r="51" spans="7:9">
      <c r="G51" s="14"/>
      <c r="H51" s="14"/>
      <c r="I51" s="14"/>
    </row>
    <row r="52" spans="7:9">
      <c r="G52" s="14"/>
      <c r="H52" s="14"/>
      <c r="I52" s="14"/>
    </row>
    <row r="53" spans="7:9">
      <c r="G53" s="14"/>
      <c r="H53" s="14"/>
      <c r="I53" s="14"/>
    </row>
  </sheetData>
  <mergeCells count="10">
    <mergeCell ref="G14:J14"/>
    <mergeCell ref="B14:E14"/>
    <mergeCell ref="G25:J25"/>
    <mergeCell ref="B3:L3"/>
    <mergeCell ref="B2:L2"/>
    <mergeCell ref="B12:C12"/>
    <mergeCell ref="D4:E4"/>
    <mergeCell ref="C4:C5"/>
    <mergeCell ref="B4:B5"/>
    <mergeCell ref="F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4BBB-10FC-4ACC-87B2-3727F25C725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cp:keywords/>
  <dc:description/>
  <cp:lastModifiedBy/>
  <cp:revision/>
  <dcterms:created xsi:type="dcterms:W3CDTF">2025-11-14T20:11:02Z</dcterms:created>
  <dcterms:modified xsi:type="dcterms:W3CDTF">2025-12-01T20:57:17Z</dcterms:modified>
  <cp:category/>
  <cp:contentStatus/>
</cp:coreProperties>
</file>